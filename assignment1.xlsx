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arvagarwal/Desktop/"/>
    </mc:Choice>
  </mc:AlternateContent>
  <xr:revisionPtr revIDLastSave="0" documentId="8_{3B4812CE-845C-654A-A760-2348516A3681}" xr6:coauthVersionLast="47" xr6:coauthVersionMax="47" xr10:uidLastSave="{00000000-0000-0000-0000-000000000000}"/>
  <bookViews>
    <workbookView xWindow="80" yWindow="580" windowWidth="25440" windowHeight="14480" xr2:uid="{3A663F5D-018E-D041-AD23-46FADE9ACC25}"/>
  </bookViews>
  <sheets>
    <sheet name="ans1" sheetId="5" r:id="rId1"/>
    <sheet name="ans 2" sheetId="4" r:id="rId2"/>
    <sheet name="ans 3" sheetId="1" r:id="rId3"/>
    <sheet name="ans 4-8" sheetId="2" r:id="rId4"/>
  </sheet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J2" i="2" s="1"/>
  <c r="I51" i="2"/>
  <c r="I2" i="2"/>
  <c r="H2" i="2"/>
  <c r="E3" i="1"/>
</calcChain>
</file>

<file path=xl/sharedStrings.xml><?xml version="1.0" encoding="utf-8"?>
<sst xmlns="http://schemas.openxmlformats.org/spreadsheetml/2006/main" count="266" uniqueCount="164">
  <si>
    <t>ITEM</t>
  </si>
  <si>
    <t>PRICE</t>
  </si>
  <si>
    <t>SALES</t>
  </si>
  <si>
    <t>ITEM A</t>
  </si>
  <si>
    <t>ITEM B</t>
  </si>
  <si>
    <t>ITEM C</t>
  </si>
  <si>
    <t>AVERAGE SALES BETWEEN 100 TO 300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</si>
  <si>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</si>
  <si>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</si>
  <si>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</si>
  <si>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</si>
  <si>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</si>
  <si>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</si>
  <si>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</si>
  <si>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</si>
  <si>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</si>
  <si>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</si>
  <si>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</si>
  <si>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</si>
  <si>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</si>
  <si>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</si>
  <si>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</si>
  <si>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</si>
  <si>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</si>
  <si>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</si>
  <si>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</si>
  <si>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</si>
  <si>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</si>
  <si>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</si>
  <si>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</si>
  <si>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</si>
  <si>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</si>
  <si>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</si>
  <si>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</si>
  <si>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</si>
  <si>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</si>
  <si>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</si>
  <si>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</si>
  <si>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</si>
  <si>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</si>
  <si>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</si>
  <si>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</si>
  <si>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</si>
  <si>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</si>
  <si>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</si>
  <si>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</si>
  <si>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</si>
  <si>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</si>
  <si>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</si>
  <si>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</si>
  <si>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</si>
  <si>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</si>
  <si>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</si>
  <si>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</si>
  <si>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</si>
  <si>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</si>
  <si>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</si>
  <si>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</si>
  <si>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</si>
  <si>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</si>
  <si>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</si>
  <si>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</si>
  <si>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</si>
  <si>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</si>
  <si>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</si>
  <si>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</si>
  <si>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</si>
  <si>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</si>
  <si>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</si>
  <si>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</si>
  <si>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</si>
  <si>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</si>
  <si>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</si>
  <si>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COUNT OF CUSTOMERS</t>
  </si>
  <si>
    <t>TOTAL SALES</t>
  </si>
  <si>
    <t>TOTAL SALES OF NOTEBOOKS IN NORTH REGION</t>
  </si>
  <si>
    <t>TOTAL SALES BY PRODUCT</t>
  </si>
  <si>
    <t>DAILY SALES TREND</t>
  </si>
  <si>
    <t>Grand Total</t>
  </si>
  <si>
    <t>Row Labels</t>
  </si>
  <si>
    <t>Sum of TOTAL SALES</t>
  </si>
  <si>
    <t>Sales</t>
  </si>
  <si>
    <t>05-Jan</t>
  </si>
  <si>
    <t>06-Jan</t>
  </si>
  <si>
    <t>07-Jan</t>
  </si>
  <si>
    <t>08-Jan</t>
  </si>
  <si>
    <t>10-Jan</t>
  </si>
  <si>
    <t>11-Jan</t>
  </si>
  <si>
    <t>13-Jan</t>
  </si>
  <si>
    <t>15-Jan</t>
  </si>
  <si>
    <t>17-Jan</t>
  </si>
  <si>
    <t>18-Jan</t>
  </si>
  <si>
    <t>19-Jan</t>
  </si>
  <si>
    <t>20-Jan</t>
  </si>
  <si>
    <t>22-Jan</t>
  </si>
  <si>
    <t>23-Jan</t>
  </si>
  <si>
    <t>24-Jan</t>
  </si>
  <si>
    <t>26-Jan</t>
  </si>
  <si>
    <t>28-Jan</t>
  </si>
  <si>
    <t>29-Jan</t>
  </si>
  <si>
    <t>30-Jan</t>
  </si>
  <si>
    <t>01-Feb</t>
  </si>
  <si>
    <t>02-Feb</t>
  </si>
  <si>
    <t>03-Feb</t>
  </si>
  <si>
    <t>04-Feb</t>
  </si>
  <si>
    <t>06-Feb</t>
  </si>
  <si>
    <t>07-Feb</t>
  </si>
  <si>
    <t>08-Feb</t>
  </si>
  <si>
    <t>09-Feb</t>
  </si>
  <si>
    <t>10-Feb</t>
  </si>
  <si>
    <t>12-Feb</t>
  </si>
  <si>
    <t>13-Feb</t>
  </si>
  <si>
    <t>14-Feb</t>
  </si>
  <si>
    <t>16-Feb</t>
  </si>
  <si>
    <t>17-Feb</t>
  </si>
  <si>
    <t>18-Feb</t>
  </si>
  <si>
    <t>19-Feb</t>
  </si>
  <si>
    <t>21-Feb</t>
  </si>
  <si>
    <t>22-Feb</t>
  </si>
  <si>
    <t>23-Feb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</si>
  <si>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</si>
  <si>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</si>
  <si>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</si>
  <si>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</si>
  <si>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</si>
  <si>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</si>
  <si>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</si>
  <si>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</si>
  <si>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</si>
  <si>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</si>
  <si>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</si>
  <si>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</si>
  <si>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VEHICLE</t>
  </si>
  <si>
    <t>Car</t>
  </si>
  <si>
    <t>Bicycle</t>
  </si>
  <si>
    <t>Auto-Rikshaw</t>
  </si>
  <si>
    <t>TOTAL SALES OF CARS AND BICYCLE</t>
  </si>
  <si>
    <t>There are three main types of cell referencing:</t>
  </si>
  <si>
    <t>Feature</t>
  </si>
  <si>
    <t>Relative</t>
  </si>
  <si>
    <t>Absolute</t>
  </si>
  <si>
    <t>Mixed</t>
  </si>
  <si>
    <t>Symbol Used</t>
  </si>
  <si>
    <t>None</t>
  </si>
  <si>
    <t>$A$1</t>
  </si>
  <si>
    <t>Row Change</t>
  </si>
  <si>
    <t>Yes</t>
  </si>
  <si>
    <t>No</t>
  </si>
  <si>
    <t>Partial</t>
  </si>
  <si>
    <t>Column Change</t>
  </si>
  <si>
    <t>Flexibility</t>
  </si>
  <si>
    <t>High</t>
  </si>
  <si>
    <t>Low</t>
  </si>
  <si>
    <t>Medium</t>
  </si>
  <si>
    <t>Use Case</t>
  </si>
  <si>
    <t>General formulas</t>
  </si>
  <si>
    <t>Fixed values</t>
  </si>
  <si>
    <t>Structured calculations</t>
  </si>
  <si>
    <t>Difference between relative, absolute and mixed cell referencing</t>
  </si>
  <si>
    <r>
      <t>$A1</t>
    </r>
    <r>
      <rPr>
        <sz val="18"/>
        <color theme="1"/>
        <rFont val="Aptos Narrow"/>
        <family val="2"/>
        <scheme val="minor"/>
      </rPr>
      <t xml:space="preserve"> / </t>
    </r>
    <r>
      <rPr>
        <sz val="18"/>
        <color theme="1"/>
        <rFont val="Arial Unicode MS"/>
        <family val="2"/>
      </rPr>
      <t>A$1</t>
    </r>
  </si>
  <si>
    <t>Cell referencing refers to the way a cell address behaves in a formula when it is copied or moved to another location. It determines whether the reference will change or remain fixed.</t>
  </si>
  <si>
    <t xml:space="preserve">                                                                            a) Relative Referencing</t>
  </si>
  <si>
    <t xml:space="preserve">                                                                            b) Absolute Referencing</t>
  </si>
  <si>
    <t xml:space="preserve">                                                                            c) Mixed Referencing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</si>
</sst>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₹&quot;* #,##0.00_);_(&quot;₹&quot;* \(#,##0.00\);_(&quot;₹&quot;* &quot;-&quot;??_);_(@_)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8"/>
      <color theme="1"/>
      <name val="Aptos Narrow"/>
      <scheme val="minor"/>
    </font>
    <font>
      <b/>
      <sz val="18"/>
      <color theme="1"/>
      <name val="Aptos Narrow"/>
      <scheme val="minor"/>
    </font>
    <font>
      <sz val="18"/>
      <color theme="1"/>
      <name val="Arial Unicode MS"/>
      <family val="2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3" borderId="0" xfId="2" applyAlignment="1">
      <alignment horizontal="center"/>
    </xf>
    <xf numFmtId="0" fontId="3" fillId="2" borderId="0" xfId="1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1" fillId="3" borderId="0" xfId="2" applyNumberFormat="1" applyAlignment="1"/>
    <xf numFmtId="0" fontId="6" fillId="0" borderId="0" xfId="0" applyFont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3" fillId="2" borderId="0" xfId="1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center"/>
    </xf>
    <xf numFmtId="0" fontId="11" fillId="0" borderId="0" xfId="0" applyFont="1"/>
  </cellXfs>
  <cellStyles count="3">
    <cellStyle name="20% - Accent1" xfId="2" builtinId="30"/>
    <cellStyle name="Accent1" xfId="1" builtinId="29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[assignment1.xlsx]ans 4-8!PivotTable2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'ans 4-8'!$P$2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'ans 4-8'!$O$3:$O$53</c:f>
              <c:strCache>
                <c:ptCount val="50"/>
                <c:pt idx="0">
                  <c:v>05-Jan</c:v>
                </c:pt>
                <c:pt idx="1">
                  <c:v>06-Jan</c:v>
                </c:pt>
                <c:pt idx="2">
                  <c:v>07-Jan</c:v>
                </c:pt>
                <c:pt idx="3">
                  <c:v>08-Jan</c:v>
                </c:pt>
                <c:pt idx="4">
                  <c:v>10-Jan</c:v>
                </c:pt>
                <c:pt idx="5">
                  <c:v>11-Jan</c:v>
                </c:pt>
                <c:pt idx="6">
                  <c:v>13-Jan</c:v>
                </c:pt>
                <c:pt idx="7">
                  <c:v>15-Jan</c:v>
                </c:pt>
                <c:pt idx="8">
                  <c:v>17-Jan</c:v>
                </c:pt>
                <c:pt idx="9">
                  <c:v>18-Jan</c:v>
                </c:pt>
                <c:pt idx="10">
                  <c:v>19-Jan</c:v>
                </c:pt>
                <c:pt idx="11">
                  <c:v>20-Jan</c:v>
                </c:pt>
                <c:pt idx="12">
                  <c:v>22-Jan</c:v>
                </c:pt>
                <c:pt idx="13">
                  <c:v>23-Jan</c:v>
                </c:pt>
                <c:pt idx="14">
                  <c:v>24-Jan</c:v>
                </c:pt>
                <c:pt idx="15">
                  <c:v>26-Jan</c:v>
                </c:pt>
                <c:pt idx="16">
                  <c:v>28-Jan</c:v>
                </c:pt>
                <c:pt idx="17">
                  <c:v>29-Jan</c:v>
                </c:pt>
                <c:pt idx="18">
                  <c:v>30-Jan</c:v>
                </c:pt>
                <c:pt idx="19">
                  <c:v>01-Feb</c:v>
                </c:pt>
                <c:pt idx="20">
                  <c:v>02-Feb</c:v>
                </c:pt>
                <c:pt idx="21">
                  <c:v>03-Feb</c:v>
                </c:pt>
                <c:pt idx="22">
                  <c:v>04-Feb</c:v>
                </c:pt>
                <c:pt idx="23">
                  <c:v>06-Feb</c:v>
                </c:pt>
                <c:pt idx="24">
                  <c:v>07-Feb</c:v>
                </c:pt>
                <c:pt idx="25">
                  <c:v>08-Feb</c:v>
                </c:pt>
                <c:pt idx="26">
                  <c:v>09-Feb</c:v>
                </c:pt>
                <c:pt idx="27">
                  <c:v>10-Feb</c:v>
                </c:pt>
                <c:pt idx="28">
                  <c:v>12-Feb</c:v>
                </c:pt>
                <c:pt idx="29">
                  <c:v>13-Feb</c:v>
                </c:pt>
                <c:pt idx="30">
                  <c:v>14-Feb</c:v>
                </c:pt>
                <c:pt idx="31">
                  <c:v>16-Feb</c:v>
                </c:pt>
                <c:pt idx="32">
                  <c:v>17-Feb</c:v>
                </c:pt>
                <c:pt idx="33">
                  <c:v>18-Feb</c:v>
                </c:pt>
                <c:pt idx="34">
                  <c:v>19-Feb</c:v>
                </c:pt>
                <c:pt idx="35">
                  <c:v>21-Feb</c:v>
                </c:pt>
                <c:pt idx="36">
                  <c:v>22-Feb</c:v>
                </c:pt>
                <c:pt idx="37">
                  <c:v>23-Feb</c:v>
                </c:pt>
                <c:pt idx="38">
                  <c:v>25-Feb</c:v>
                </c:pt>
                <c:pt idx="39">
                  <c:v>26-Feb</c:v>
                </c:pt>
                <c:pt idx="40">
                  <c:v>27-Feb</c:v>
                </c:pt>
                <c:pt idx="41">
                  <c:v>28-Feb</c:v>
                </c:pt>
                <c:pt idx="42">
                  <c:v>01-Mar</c:v>
                </c:pt>
                <c:pt idx="43">
                  <c:v>02-Mar</c:v>
                </c:pt>
                <c:pt idx="44">
                  <c:v>03-Mar</c:v>
                </c:pt>
                <c:pt idx="45">
                  <c:v>04-Mar</c:v>
                </c:pt>
                <c:pt idx="46">
                  <c:v>05-Mar</c:v>
                </c:pt>
                <c:pt idx="47">
                  <c:v>06-Mar</c:v>
                </c:pt>
                <c:pt idx="48">
                  <c:v>07-Mar</c:v>
                </c:pt>
                <c:pt idx="49">
                  <c:v>08-Mar</c:v>
                </c:pt>
              </c:strCache>
            </c:strRef>
          </c:cat>
          <c:val>
            <c:numRef>
              <c:f>'ans 4-8'!$P$3:$P$53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B-AF4E-86F6-B8F2258F6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81119"/>
        <c:axId val="669176639"/>
      </c:lineChart>
      <c:catAx>
        <c:axId val="66918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76639"/>
        <c:crosses val="autoZero"/>
        <c:auto val="1"/>
        <c:lblAlgn val="ctr"/>
        <c:lblOffset val="100"/>
        <c:noMultiLvlLbl val="0"/>
      </c:catAx>
      <c:valAx>
        <c:axId val="66917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8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44450</xdr:colOff>
      <xdr:row>0</xdr:row>
      <xdr:rowOff>0</xdr:rowOff>
    </xdr:from>
    <xdr:to>
      <xdr:col>21</xdr:col>
      <xdr:colOff>158750</xdr:colOff>
      <xdr:row>13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C6BEE0-960C-1CEF-9164-CA7A580EB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v Agarwal" refreshedDate="46129.508119444443" createdVersion="8" refreshedVersion="8" minRefreshableVersion="3" recordCount="50" xr:uid="{7EB24DE4-2115-754A-92D3-B11C6A5335D8}">
  <cacheSource type="worksheet">
    <worksheetSource ref="A1:I51" sheet="ans 4-8"/>
  </cacheSource>
  <cacheFields count="13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 count="50">
        <d v="2024-01-05T00:00:00"/>
        <d v="2024-01-06T00:00:00"/>
        <d v="2024-01-07T00:00:00"/>
        <d v="2024-01-08T00:00:00"/>
        <d v="2024-01-10T00:00:00"/>
        <d v="2024-01-11T00:00:00"/>
        <d v="2024-01-13T00:00:00"/>
        <d v="2024-01-15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6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</sharedItems>
      <fieldGroup par="12"/>
    </cacheField>
    <cacheField name="Field8" caption="Field8" numFmtId="0">
      <sharedItems containsNonDate="0" containsString="0" containsBlank="1"/>
    </cacheField>
    <cacheField name="COUNT OF CUSTOMERS" numFmtId="0">
      <sharedItems containsString="0" containsBlank="1" containsNumber="1" containsInteger="1" minValue="50" maxValue="50"/>
    </cacheField>
    <cacheField name="Field10" caption="Field10" numFmtId="0">
      <sharedItems containsNonDate="0" containsString="0" containsBlank="1"/>
    </cacheField>
    <cacheField name="TOTAL SALES" numFmtId="0">
      <sharedItems containsSemiMixedTypes="0" containsString="0" containsNumber="1" containsInteger="1" minValue="90" maxValue="850"/>
    </cacheField>
    <cacheField name="Days (OrderDate)" numFmtId="0" databaseField="0">
      <fieldGroup base="6">
        <rangePr groupBy="days" startDate="2024-01-05T00:00:00" endDate="2024-03-09T00:00:00"/>
        <groupItems count="368">
          <s v="&lt;05/01/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/03/24"/>
        </groupItems>
      </fieldGroup>
    </cacheField>
    <cacheField name="Months (OrderDate)" numFmtId="0" databaseField="0">
      <fieldGroup base="6">
        <rangePr groupBy="months" startDate="2024-01-05T00:00:00" endDate="2024-03-09T00:00:00"/>
        <groupItems count="14">
          <s v="&lt;05/01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/03/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x v="0"/>
    <m/>
    <n v="50"/>
    <m/>
    <n v="500"/>
  </r>
  <r>
    <n v="1002"/>
    <s v="Neha Verma"/>
    <s v="South"/>
    <x v="1"/>
    <n v="20"/>
    <n v="10"/>
    <x v="1"/>
    <m/>
    <m/>
    <m/>
    <n v="200"/>
  </r>
  <r>
    <n v="1003"/>
    <s v="Rahul Singh"/>
    <s v="East"/>
    <x v="2"/>
    <n v="15"/>
    <n v="25"/>
    <x v="2"/>
    <m/>
    <m/>
    <m/>
    <n v="375"/>
  </r>
  <r>
    <n v="1004"/>
    <s v="Pooja Mehta"/>
    <s v="West"/>
    <x v="0"/>
    <n v="5"/>
    <n v="50"/>
    <x v="3"/>
    <m/>
    <m/>
    <m/>
    <n v="250"/>
  </r>
  <r>
    <n v="1005"/>
    <s v="Ankit Jain"/>
    <s v="North"/>
    <x v="3"/>
    <n v="30"/>
    <n v="5"/>
    <x v="4"/>
    <m/>
    <m/>
    <m/>
    <n v="150"/>
  </r>
  <r>
    <n v="1006"/>
    <s v="Sneha Patel"/>
    <s v="South"/>
    <x v="0"/>
    <n v="12"/>
    <n v="50"/>
    <x v="5"/>
    <m/>
    <m/>
    <m/>
    <n v="600"/>
  </r>
  <r>
    <n v="1007"/>
    <s v="Vikas Gupta"/>
    <s v="East"/>
    <x v="4"/>
    <n v="25"/>
    <n v="8"/>
    <x v="6"/>
    <m/>
    <m/>
    <m/>
    <n v="200"/>
  </r>
  <r>
    <n v="1008"/>
    <s v="Meera Nair"/>
    <s v="West"/>
    <x v="1"/>
    <n v="18"/>
    <n v="10"/>
    <x v="7"/>
    <m/>
    <m/>
    <m/>
    <n v="180"/>
  </r>
  <r>
    <n v="1009"/>
    <s v="Anjali Rao"/>
    <s v="North"/>
    <x v="2"/>
    <n v="22"/>
    <n v="25"/>
    <x v="8"/>
    <m/>
    <m/>
    <m/>
    <n v="550"/>
  </r>
  <r>
    <n v="1010"/>
    <s v="Manoj Das"/>
    <s v="South"/>
    <x v="0"/>
    <n v="8"/>
    <n v="50"/>
    <x v="9"/>
    <m/>
    <m/>
    <m/>
    <n v="400"/>
  </r>
  <r>
    <n v="1011"/>
    <s v="Ritika Sen"/>
    <s v="East"/>
    <x v="3"/>
    <n v="40"/>
    <n v="5"/>
    <x v="10"/>
    <m/>
    <m/>
    <m/>
    <n v="200"/>
  </r>
  <r>
    <n v="1012"/>
    <s v="Karan Malhotra"/>
    <s v="West"/>
    <x v="4"/>
    <n v="35"/>
    <n v="8"/>
    <x v="11"/>
    <m/>
    <m/>
    <m/>
    <n v="280"/>
  </r>
  <r>
    <n v="1013"/>
    <s v="Aryan Joshi"/>
    <s v="North"/>
    <x v="0"/>
    <n v="14"/>
    <n v="50"/>
    <x v="12"/>
    <m/>
    <m/>
    <m/>
    <n v="700"/>
  </r>
  <r>
    <n v="1014"/>
    <s v="Divya Kapoor"/>
    <s v="South"/>
    <x v="1"/>
    <n v="28"/>
    <n v="10"/>
    <x v="13"/>
    <m/>
    <m/>
    <m/>
    <n v="280"/>
  </r>
  <r>
    <n v="1015"/>
    <s v="Sahil Arora"/>
    <s v="East"/>
    <x v="2"/>
    <n v="12"/>
    <n v="25"/>
    <x v="14"/>
    <m/>
    <m/>
    <m/>
    <n v="300"/>
  </r>
  <r>
    <n v="1016"/>
    <s v="Muskan Jain"/>
    <s v="West"/>
    <x v="3"/>
    <n v="25"/>
    <n v="5"/>
    <x v="15"/>
    <m/>
    <m/>
    <m/>
    <n v="125"/>
  </r>
  <r>
    <n v="1017"/>
    <s v="Rohan Gupta"/>
    <s v="North"/>
    <x v="4"/>
    <n v="20"/>
    <n v="8"/>
    <x v="16"/>
    <m/>
    <m/>
    <m/>
    <n v="160"/>
  </r>
  <r>
    <n v="1018"/>
    <s v="Nidhi Sharma"/>
    <s v="South"/>
    <x v="0"/>
    <n v="10"/>
    <n v="50"/>
    <x v="17"/>
    <m/>
    <m/>
    <m/>
    <n v="500"/>
  </r>
  <r>
    <n v="1019"/>
    <s v="Tarun Verma"/>
    <s v="East"/>
    <x v="1"/>
    <n v="15"/>
    <n v="10"/>
    <x v="18"/>
    <m/>
    <m/>
    <m/>
    <n v="150"/>
  </r>
  <r>
    <n v="1020"/>
    <s v="Simran Kaur"/>
    <s v="West"/>
    <x v="2"/>
    <n v="18"/>
    <n v="25"/>
    <x v="19"/>
    <m/>
    <m/>
    <m/>
    <n v="450"/>
  </r>
  <r>
    <n v="1021"/>
    <s v="Deepak Rao"/>
    <s v="North"/>
    <x v="0"/>
    <n v="9"/>
    <n v="50"/>
    <x v="20"/>
    <m/>
    <m/>
    <m/>
    <n v="450"/>
  </r>
  <r>
    <n v="1022"/>
    <s v="Payal Mehta"/>
    <s v="South"/>
    <x v="3"/>
    <n v="35"/>
    <n v="5"/>
    <x v="21"/>
    <m/>
    <m/>
    <m/>
    <n v="175"/>
  </r>
  <r>
    <n v="1023"/>
    <s v="Aditya Singh"/>
    <s v="East"/>
    <x v="4"/>
    <n v="30"/>
    <n v="8"/>
    <x v="22"/>
    <m/>
    <m/>
    <m/>
    <n v="240"/>
  </r>
  <r>
    <n v="1024"/>
    <s v="Shreya Nair"/>
    <s v="West"/>
    <x v="0"/>
    <n v="11"/>
    <n v="50"/>
    <x v="23"/>
    <m/>
    <m/>
    <m/>
    <n v="550"/>
  </r>
  <r>
    <n v="1025"/>
    <s v="Sanjay Kumar"/>
    <s v="North"/>
    <x v="1"/>
    <n v="14"/>
    <n v="10"/>
    <x v="24"/>
    <m/>
    <m/>
    <m/>
    <n v="140"/>
  </r>
  <r>
    <n v="1026"/>
    <s v="Aarti Sharma"/>
    <s v="South"/>
    <x v="2"/>
    <n v="16"/>
    <n v="25"/>
    <x v="25"/>
    <m/>
    <m/>
    <m/>
    <n v="400"/>
  </r>
  <r>
    <n v="1027"/>
    <s v="Rajesh Patel"/>
    <s v="East"/>
    <x v="3"/>
    <n v="22"/>
    <n v="5"/>
    <x v="26"/>
    <m/>
    <m/>
    <m/>
    <n v="110"/>
  </r>
  <r>
    <n v="1028"/>
    <s v="Preeti Joshi"/>
    <s v="West"/>
    <x v="4"/>
    <n v="27"/>
    <n v="8"/>
    <x v="27"/>
    <m/>
    <m/>
    <m/>
    <n v="216"/>
  </r>
  <r>
    <n v="1029"/>
    <s v="Anurag Mishra"/>
    <s v="North"/>
    <x v="0"/>
    <n v="13"/>
    <n v="50"/>
    <x v="28"/>
    <m/>
    <m/>
    <m/>
    <n v="650"/>
  </r>
  <r>
    <n v="1030"/>
    <s v="Sanya Kapoor"/>
    <s v="South"/>
    <x v="1"/>
    <n v="32"/>
    <n v="10"/>
    <x v="29"/>
    <m/>
    <m/>
    <m/>
    <n v="320"/>
  </r>
  <r>
    <n v="1031"/>
    <s v="Harsh Yadav"/>
    <s v="East"/>
    <x v="2"/>
    <n v="10"/>
    <n v="25"/>
    <x v="30"/>
    <m/>
    <m/>
    <m/>
    <n v="250"/>
  </r>
  <r>
    <n v="1032"/>
    <s v="Kajal Rani"/>
    <s v="West"/>
    <x v="3"/>
    <n v="18"/>
    <n v="5"/>
    <x v="31"/>
    <m/>
    <m/>
    <m/>
    <n v="90"/>
  </r>
  <r>
    <n v="1033"/>
    <s v="Varun Sharma"/>
    <s v="North"/>
    <x v="4"/>
    <n v="22"/>
    <n v="8"/>
    <x v="32"/>
    <m/>
    <m/>
    <m/>
    <n v="176"/>
  </r>
  <r>
    <n v="1034"/>
    <s v="Swati Arora"/>
    <s v="South"/>
    <x v="0"/>
    <n v="17"/>
    <n v="50"/>
    <x v="33"/>
    <m/>
    <m/>
    <m/>
    <n v="850"/>
  </r>
  <r>
    <n v="1035"/>
    <s v="Akhil Jain"/>
    <s v="East"/>
    <x v="1"/>
    <n v="19"/>
    <n v="10"/>
    <x v="34"/>
    <m/>
    <m/>
    <m/>
    <n v="190"/>
  </r>
  <r>
    <n v="1036"/>
    <s v="Priyanka Das"/>
    <s v="West"/>
    <x v="2"/>
    <n v="15"/>
    <n v="25"/>
    <x v="35"/>
    <m/>
    <m/>
    <m/>
    <n v="375"/>
  </r>
  <r>
    <n v="1037"/>
    <s v="Ravi Nair"/>
    <s v="North"/>
    <x v="3"/>
    <n v="28"/>
    <n v="5"/>
    <x v="36"/>
    <m/>
    <m/>
    <m/>
    <n v="140"/>
  </r>
  <r>
    <n v="1038"/>
    <s v="Komal Singh"/>
    <s v="South"/>
    <x v="4"/>
    <n v="24"/>
    <n v="8"/>
    <x v="37"/>
    <m/>
    <m/>
    <m/>
    <n v="192"/>
  </r>
  <r>
    <n v="1039"/>
    <s v="Ayesha Khan"/>
    <s v="East"/>
    <x v="0"/>
    <n v="16"/>
    <n v="50"/>
    <x v="38"/>
    <m/>
    <m/>
    <m/>
    <n v="800"/>
  </r>
  <r>
    <n v="1040"/>
    <s v="Arjun Mehta"/>
    <s v="West"/>
    <x v="1"/>
    <n v="27"/>
    <n v="10"/>
    <x v="39"/>
    <m/>
    <m/>
    <m/>
    <n v="270"/>
  </r>
  <r>
    <n v="1041"/>
    <s v="Sonali Gupta"/>
    <s v="North"/>
    <x v="2"/>
    <n v="21"/>
    <n v="25"/>
    <x v="40"/>
    <m/>
    <m/>
    <m/>
    <n v="525"/>
  </r>
  <r>
    <n v="1042"/>
    <s v="Neeraj Kapoor"/>
    <s v="South"/>
    <x v="3"/>
    <n v="30"/>
    <n v="5"/>
    <x v="41"/>
    <m/>
    <m/>
    <m/>
    <n v="150"/>
  </r>
  <r>
    <n v="1043"/>
    <s v="Shruti Sharma"/>
    <s v="East"/>
    <x v="4"/>
    <n v="26"/>
    <n v="8"/>
    <x v="42"/>
    <m/>
    <m/>
    <m/>
    <n v="208"/>
  </r>
  <r>
    <n v="1044"/>
    <s v="Yash Arora"/>
    <s v="West"/>
    <x v="0"/>
    <n v="14"/>
    <n v="50"/>
    <x v="43"/>
    <m/>
    <m/>
    <m/>
    <n v="700"/>
  </r>
  <r>
    <n v="1045"/>
    <s v="Manish Das"/>
    <s v="North"/>
    <x v="1"/>
    <n v="20"/>
    <n v="10"/>
    <x v="44"/>
    <m/>
    <m/>
    <m/>
    <n v="200"/>
  </r>
  <r>
    <n v="1046"/>
    <s v="Rupal Nair"/>
    <s v="South"/>
    <x v="2"/>
    <n v="17"/>
    <n v="25"/>
    <x v="45"/>
    <m/>
    <m/>
    <m/>
    <n v="425"/>
  </r>
  <r>
    <n v="1047"/>
    <s v="Sonia Verma"/>
    <s v="East"/>
    <x v="3"/>
    <n v="19"/>
    <n v="5"/>
    <x v="46"/>
    <m/>
    <m/>
    <m/>
    <n v="95"/>
  </r>
  <r>
    <n v="1048"/>
    <s v="Kunal Singh"/>
    <s v="West"/>
    <x v="4"/>
    <n v="32"/>
    <n v="8"/>
    <x v="47"/>
    <m/>
    <m/>
    <m/>
    <n v="256"/>
  </r>
  <r>
    <n v="1049"/>
    <s v="Ritika Jain"/>
    <s v="North"/>
    <x v="0"/>
    <n v="12"/>
    <n v="50"/>
    <x v="48"/>
    <m/>
    <m/>
    <m/>
    <n v="600"/>
  </r>
  <r>
    <n v="1050"/>
    <s v="Vivek Malhotra"/>
    <s v="South"/>
    <x v="1"/>
    <n v="25"/>
    <n v="10"/>
    <x v="49"/>
    <m/>
    <m/>
    <m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55DD2-3619-D443-A583-1483B579EF39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M8" firstHeaderRow="1" firstDataRow="1" firstDataCol="1"/>
  <pivotFields count="13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E64F1-15CC-6545-AA30-193DE2A678AE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O2:P5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2"/>
    <field x="6"/>
  </rowFields>
  <rowItems count="51">
    <i>
      <x v="5"/>
    </i>
    <i>
      <x v="6"/>
    </i>
    <i>
      <x v="7"/>
    </i>
    <i>
      <x v="8"/>
    </i>
    <i>
      <x v="10"/>
    </i>
    <i>
      <x v="11"/>
    </i>
    <i>
      <x v="13"/>
    </i>
    <i>
      <x v="15"/>
    </i>
    <i>
      <x v="17"/>
    </i>
    <i>
      <x v="18"/>
    </i>
    <i>
      <x v="19"/>
    </i>
    <i>
      <x v="20"/>
    </i>
    <i>
      <x v="22"/>
    </i>
    <i>
      <x v="23"/>
    </i>
    <i>
      <x v="24"/>
    </i>
    <i>
      <x v="26"/>
    </i>
    <i>
      <x v="28"/>
    </i>
    <i>
      <x v="29"/>
    </i>
    <i>
      <x v="30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7"/>
    </i>
    <i>
      <x v="48"/>
    </i>
    <i>
      <x v="49"/>
    </i>
    <i>
      <x v="50"/>
    </i>
    <i>
      <x v="52"/>
    </i>
    <i>
      <x v="53"/>
    </i>
    <i>
      <x v="54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 t="grand">
      <x/>
    </i>
  </rowItems>
  <colItems count="1">
    <i/>
  </colItems>
  <dataFields count="1">
    <dataField name="Sum of TOTAL SALES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8046D7-62BD-9649-9CB1-D088E9674AFF}" name="Table5" displayName="Table5" ref="A9:D14" totalsRowShown="0" dataDxfId="17">
  <autoFilter ref="A9:D14" xr:uid="{2D8046D7-62BD-9649-9CB1-D088E9674AFF}"/>
  <tableColumns count="4">
    <tableColumn id="1" xr3:uid="{0523270B-46B0-5543-8629-B385ABCF65E2}" name="Feature" dataDxfId="16"/>
    <tableColumn id="2" xr3:uid="{A81FED24-DD1D-9249-984A-7E5EAE1C468B}" name="Relative" dataDxfId="15"/>
    <tableColumn id="3" xr3:uid="{22ABB43D-A980-264A-864A-D490088D71EF}" name="Absolute" dataDxfId="14"/>
    <tableColumn id="4" xr3:uid="{5C1043E4-EDE0-AF44-9582-569651B472A8}" name="Mixed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820803-C191-704A-9D2A-A219A48DAFAA}" name="Table3" displayName="Table3" ref="A1:B4" totalsRowShown="0">
  <autoFilter ref="A1:B4" xr:uid="{F5820803-C191-704A-9D2A-A219A48DAFAA}"/>
  <tableColumns count="2">
    <tableColumn id="1" xr3:uid="{9AC0E06A-7728-3547-A25A-86DFD353B7A2}" name="VEHICLE" dataDxfId="12"/>
    <tableColumn id="2" xr3:uid="{B1E7F5AD-BB95-5F48-B8BB-313A36A14E6F}" name="PRICE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1B722F-2842-D949-91CA-8CBD0D38B32A}" name="Table1" displayName="Table1" ref="A1:C4" totalsRowShown="0">
  <autoFilter ref="A1:C4" xr:uid="{5D1B722F-2842-D949-91CA-8CBD0D38B32A}">
    <filterColumn colId="1">
      <customFilters and="1">
        <customFilter operator="greaterThanOrEqual" val="100"/>
        <customFilter operator="lessThanOrEqual" val="300"/>
      </customFilters>
    </filterColumn>
  </autoFilter>
  <tableColumns count="3">
    <tableColumn id="1" xr3:uid="{8FBED899-5EED-C447-B4D2-CA30C9651B33}" name="ITEM"/>
    <tableColumn id="2" xr3:uid="{F8B87828-B041-F348-9750-72C7CFE56964}" name="PRICE" dataDxfId="10"/>
    <tableColumn id="3" xr3:uid="{676D46F5-E421-5B4D-ACEE-30B041A0D969}" name="SALES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77AA82-AA5A-1C40-84CA-1CCC38D3E44B}" name="Data" displayName="Data" ref="A1:G51" totalsRowShown="0" headerRowDxfId="8" dataDxfId="7">
  <autoFilter ref="A1:G51" xr:uid="{CC77AA82-AA5A-1C40-84CA-1CCC38D3E44B}"/>
  <tableColumns count="7">
    <tableColumn id="1" xr3:uid="{E8675A7A-3066-E743-BCD2-24F76B0603C4}" name="OrderID" dataDxfId="6"/>
    <tableColumn id="2" xr3:uid="{EBD5F186-ED33-FB4A-83C6-5A76A5329F9C}" name="CustomerName" dataDxfId="5"/>
    <tableColumn id="3" xr3:uid="{4A76B138-D191-E646-B011-0CEE5C8F1228}" name="Region" dataDxfId="4"/>
    <tableColumn id="4" xr3:uid="{57E7AA51-A087-7941-BE05-7EFBDD7AD74A}" name="Product" dataDxfId="3"/>
    <tableColumn id="5" xr3:uid="{CF71C285-2577-FD4F-8675-84CF4273B363}" name="Quantity" dataDxfId="2"/>
    <tableColumn id="6" xr3:uid="{F9914E80-A753-534F-B232-B8E815C9C005}" name="UnitPrice" dataDxfId="1"/>
    <tableColumn id="7" xr3:uid="{72D328DF-DC53-444C-AA06-4C7886C00BED}" name="Order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AC09-AAAF-7D40-A62E-6C57B5B6E304}">
  <dimension ref="A1:D14"/>
  <sheetViews>
    <sheetView tabSelected="1" zoomScale="85" workbookViewId="0">
      <selection activeCell="A7" sqref="A7"/>
    </sheetView>
  </sheetViews>
  <sheetFormatPr baseColWidth="10" defaultRowHeight="16" x14ac:dyDescent="0.2"/>
  <cols>
    <col min="1" max="1" width="148.6640625" bestFit="1" customWidth="1"/>
    <col min="2" max="2" width="22.6640625" bestFit="1" customWidth="1"/>
    <col min="3" max="3" width="16" bestFit="1" customWidth="1"/>
    <col min="4" max="4" width="40" customWidth="1"/>
    <col min="5" max="5" width="15.1640625" bestFit="1" customWidth="1"/>
  </cols>
  <sheetData>
    <row r="1" spans="1:4" ht="24" x14ac:dyDescent="0.3">
      <c r="A1" s="15" t="s">
        <v>160</v>
      </c>
      <c r="B1" s="15"/>
      <c r="C1" s="15"/>
      <c r="D1" s="15"/>
    </row>
    <row r="2" spans="1:4" ht="24" x14ac:dyDescent="0.3">
      <c r="A2" s="10"/>
    </row>
    <row r="3" spans="1:4" ht="24" x14ac:dyDescent="0.3">
      <c r="A3" s="11" t="s">
        <v>137</v>
      </c>
    </row>
    <row r="4" spans="1:4" ht="22" x14ac:dyDescent="0.3">
      <c r="A4" s="17" t="s">
        <v>161</v>
      </c>
    </row>
    <row r="5" spans="1:4" ht="22" x14ac:dyDescent="0.3">
      <c r="A5" s="17" t="s">
        <v>162</v>
      </c>
    </row>
    <row r="6" spans="1:4" ht="22" x14ac:dyDescent="0.3">
      <c r="A6" s="17" t="s">
        <v>163</v>
      </c>
    </row>
    <row r="8" spans="1:4" ht="37" x14ac:dyDescent="0.45">
      <c r="A8" s="16" t="s">
        <v>158</v>
      </c>
      <c r="B8" s="16"/>
      <c r="C8" s="16"/>
      <c r="D8" s="16"/>
    </row>
    <row r="9" spans="1:4" ht="24" x14ac:dyDescent="0.3">
      <c r="A9" s="11" t="s">
        <v>138</v>
      </c>
      <c r="B9" s="12" t="s">
        <v>139</v>
      </c>
      <c r="C9" s="11" t="s">
        <v>140</v>
      </c>
      <c r="D9" s="12" t="s">
        <v>141</v>
      </c>
    </row>
    <row r="10" spans="1:4" ht="26" x14ac:dyDescent="0.35">
      <c r="A10" s="10" t="s">
        <v>142</v>
      </c>
      <c r="B10" s="10" t="s">
        <v>143</v>
      </c>
      <c r="C10" s="13" t="s">
        <v>144</v>
      </c>
      <c r="D10" s="13" t="s">
        <v>159</v>
      </c>
    </row>
    <row r="11" spans="1:4" ht="24" x14ac:dyDescent="0.3">
      <c r="A11" s="10" t="s">
        <v>145</v>
      </c>
      <c r="B11" s="10" t="s">
        <v>146</v>
      </c>
      <c r="C11" s="10" t="s">
        <v>147</v>
      </c>
      <c r="D11" s="10" t="s">
        <v>148</v>
      </c>
    </row>
    <row r="12" spans="1:4" ht="24" x14ac:dyDescent="0.3">
      <c r="A12" s="10" t="s">
        <v>149</v>
      </c>
      <c r="B12" s="10" t="s">
        <v>146</v>
      </c>
      <c r="C12" s="10" t="s">
        <v>147</v>
      </c>
      <c r="D12" s="10" t="s">
        <v>148</v>
      </c>
    </row>
    <row r="13" spans="1:4" ht="24" x14ac:dyDescent="0.3">
      <c r="A13" s="10" t="s">
        <v>150</v>
      </c>
      <c r="B13" s="10" t="s">
        <v>151</v>
      </c>
      <c r="C13" s="10" t="s">
        <v>152</v>
      </c>
      <c r="D13" s="10" t="s">
        <v>153</v>
      </c>
    </row>
    <row r="14" spans="1:4" ht="24" x14ac:dyDescent="0.3">
      <c r="A14" s="10" t="s">
        <v>154</v>
      </c>
      <c r="B14" s="10" t="s">
        <v>155</v>
      </c>
      <c r="C14" s="10" t="s">
        <v>156</v>
      </c>
      <c r="D14" s="10" t="s">
        <v>157</v>
      </c>
    </row>
  </sheetData>
  <mergeCells count="2">
    <mergeCell ref="A1:D1"/>
    <mergeCell ref="A8:D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B4F2-689C-C64A-A702-7381E9F653C6}">
  <dimension ref="A1:D4"/>
  <sheetViews>
    <sheetView workbookViewId="0">
      <selection activeCell="D3" sqref="D3"/>
    </sheetView>
  </sheetViews>
  <sheetFormatPr baseColWidth="10" defaultRowHeight="16" x14ac:dyDescent="0.2"/>
  <cols>
    <col min="1" max="1" width="12.1640625" bestFit="1" customWidth="1"/>
    <col min="4" max="4" width="30.6640625" bestFit="1" customWidth="1"/>
  </cols>
  <sheetData>
    <row r="1" spans="1:4" x14ac:dyDescent="0.2">
      <c r="A1" t="s">
        <v>132</v>
      </c>
      <c r="B1" t="s">
        <v>1</v>
      </c>
      <c r="D1" s="3" t="s">
        <v>136</v>
      </c>
    </row>
    <row r="2" spans="1:4" x14ac:dyDescent="0.2">
      <c r="A2" s="1" t="s">
        <v>133</v>
      </c>
      <c r="B2" s="1">
        <v>500000</v>
      </c>
      <c r="D2" s="9">
        <f>SUM(B2:B3)</f>
        <v>510500</v>
      </c>
    </row>
    <row r="3" spans="1:4" x14ac:dyDescent="0.2">
      <c r="A3" s="1" t="s">
        <v>134</v>
      </c>
      <c r="B3" s="1">
        <v>10500</v>
      </c>
    </row>
    <row r="4" spans="1:4" x14ac:dyDescent="0.2">
      <c r="A4" s="1" t="s">
        <v>135</v>
      </c>
      <c r="B4" s="1">
        <v>25000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ABEF-6E18-044A-B1C7-D72C4664ECA8}">
  <dimension ref="A1:E4"/>
  <sheetViews>
    <sheetView workbookViewId="0">
      <selection activeCell="E4" sqref="E4"/>
    </sheetView>
  </sheetViews>
  <sheetFormatPr baseColWidth="10" defaultRowHeight="16" x14ac:dyDescent="0.2"/>
  <cols>
    <col min="5" max="5" width="32" bestFit="1" customWidth="1"/>
  </cols>
  <sheetData>
    <row r="1" spans="1:5" x14ac:dyDescent="0.2">
      <c r="A1" t="s">
        <v>0</v>
      </c>
      <c r="B1" t="s">
        <v>1</v>
      </c>
      <c r="C1" t="s">
        <v>2</v>
      </c>
      <c r="E1" s="3" t="s">
        <v>6</v>
      </c>
    </row>
    <row r="2" spans="1:5" hidden="1" x14ac:dyDescent="0.2">
      <c r="A2" t="s">
        <v>3</v>
      </c>
      <c r="B2" s="1">
        <v>90</v>
      </c>
      <c r="C2" s="1">
        <v>1000</v>
      </c>
    </row>
    <row r="3" spans="1:5" x14ac:dyDescent="0.2">
      <c r="A3" t="s">
        <v>4</v>
      </c>
      <c r="B3" s="1">
        <v>150</v>
      </c>
      <c r="C3" s="1">
        <v>1200</v>
      </c>
      <c r="E3" s="2">
        <f>AVERAGE(C3:C4)</f>
        <v>1350</v>
      </c>
    </row>
    <row r="4" spans="1:5" x14ac:dyDescent="0.2">
      <c r="A4" t="s">
        <v>5</v>
      </c>
      <c r="B4" s="1">
        <v>250</v>
      </c>
      <c r="C4" s="1">
        <v>1500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AE53-7D9E-1F44-9749-66B6AD4EC071}">
  <dimension ref="A1:P62"/>
  <sheetViews>
    <sheetView workbookViewId="0">
      <selection activeCell="S25" sqref="S25"/>
    </sheetView>
  </sheetViews>
  <sheetFormatPr baseColWidth="10" defaultRowHeight="16" x14ac:dyDescent="0.2"/>
  <cols>
    <col min="2" max="2" width="15.5" customWidth="1"/>
    <col min="7" max="7" width="11.6640625" customWidth="1"/>
    <col min="8" max="8" width="20.6640625" bestFit="1" customWidth="1"/>
    <col min="9" max="9" width="11.83203125" bestFit="1" customWidth="1"/>
    <col min="10" max="10" width="40.83203125" bestFit="1" customWidth="1"/>
    <col min="12" max="12" width="13" bestFit="1" customWidth="1"/>
    <col min="13" max="13" width="6.1640625" bestFit="1" customWidth="1"/>
    <col min="14" max="14" width="17.1640625" bestFit="1" customWidth="1"/>
    <col min="15" max="15" width="13" bestFit="1" customWidth="1"/>
    <col min="16" max="16" width="18" bestFit="1" customWidth="1"/>
    <col min="17" max="17" width="6.33203125" bestFit="1" customWidth="1"/>
    <col min="18" max="18" width="10.5" bestFit="1" customWidth="1"/>
    <col min="19" max="21" width="16" bestFit="1" customWidth="1"/>
    <col min="22" max="22" width="18.6640625" bestFit="1" customWidth="1"/>
    <col min="23" max="23" width="19.33203125" bestFit="1" customWidth="1"/>
  </cols>
  <sheetData>
    <row r="1" spans="1:16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3" t="s">
        <v>73</v>
      </c>
      <c r="I1" s="3" t="s">
        <v>74</v>
      </c>
      <c r="J1" s="3" t="s">
        <v>75</v>
      </c>
      <c r="L1" s="14" t="s">
        <v>76</v>
      </c>
      <c r="M1" s="14"/>
      <c r="O1" s="14" t="s">
        <v>77</v>
      </c>
      <c r="P1" s="14"/>
    </row>
    <row r="2" spans="1:16" x14ac:dyDescent="0.2">
      <c r="A2" s="5">
        <v>1001</v>
      </c>
      <c r="B2" s="5" t="s">
        <v>14</v>
      </c>
      <c r="C2" s="5" t="s">
        <v>15</v>
      </c>
      <c r="D2" s="5" t="s">
        <v>16</v>
      </c>
      <c r="E2" s="5">
        <v>10</v>
      </c>
      <c r="F2" s="5">
        <v>50</v>
      </c>
      <c r="G2" s="6">
        <v>45296</v>
      </c>
      <c r="H2" s="2">
        <f>COUNTA(Data[CustomerName])</f>
        <v>50</v>
      </c>
      <c r="I2" s="2">
        <f>Data[[#This Row],[Quantity]]*Data[[#This Row],[UnitPrice]]</f>
        <v>500</v>
      </c>
      <c r="J2" s="2">
        <f>SUMIFS(I2:I51,Data[Region],Data[[#This Row],[Region]],Data[Product],Data[[#This Row],[Product]])</f>
        <v>2900</v>
      </c>
      <c r="L2" s="7" t="s">
        <v>79</v>
      </c>
      <c r="M2" t="s">
        <v>81</v>
      </c>
      <c r="O2" s="7" t="s">
        <v>79</v>
      </c>
      <c r="P2" t="s">
        <v>80</v>
      </c>
    </row>
    <row r="3" spans="1:16" x14ac:dyDescent="0.2">
      <c r="A3" s="5">
        <v>1002</v>
      </c>
      <c r="B3" s="5" t="s">
        <v>17</v>
      </c>
      <c r="C3" s="5" t="s">
        <v>18</v>
      </c>
      <c r="D3" s="5" t="s">
        <v>19</v>
      </c>
      <c r="E3" s="5">
        <v>20</v>
      </c>
      <c r="F3" s="5">
        <v>10</v>
      </c>
      <c r="G3" s="6">
        <v>45297</v>
      </c>
      <c r="I3" s="2">
        <f>Data[[#This Row],[Quantity]]*Data[[#This Row],[UnitPrice]]</f>
        <v>200</v>
      </c>
      <c r="L3" s="8" t="s">
        <v>29</v>
      </c>
      <c r="M3">
        <v>1928</v>
      </c>
      <c r="O3" s="8" t="s">
        <v>82</v>
      </c>
      <c r="P3">
        <v>500</v>
      </c>
    </row>
    <row r="4" spans="1:16" x14ac:dyDescent="0.2">
      <c r="A4" s="5">
        <v>1003</v>
      </c>
      <c r="B4" s="5" t="s">
        <v>20</v>
      </c>
      <c r="C4" s="5" t="s">
        <v>21</v>
      </c>
      <c r="D4" s="5" t="s">
        <v>22</v>
      </c>
      <c r="E4" s="5">
        <v>15</v>
      </c>
      <c r="F4" s="5">
        <v>25</v>
      </c>
      <c r="G4" s="6">
        <v>45298</v>
      </c>
      <c r="I4" s="2">
        <f>Data[[#This Row],[Quantity]]*Data[[#This Row],[UnitPrice]]</f>
        <v>375</v>
      </c>
      <c r="L4" s="8" t="s">
        <v>22</v>
      </c>
      <c r="M4">
        <v>3650</v>
      </c>
      <c r="O4" s="8" t="s">
        <v>83</v>
      </c>
      <c r="P4">
        <v>200</v>
      </c>
    </row>
    <row r="5" spans="1:16" x14ac:dyDescent="0.2">
      <c r="A5" s="5">
        <v>1004</v>
      </c>
      <c r="B5" s="5" t="s">
        <v>23</v>
      </c>
      <c r="C5" s="5" t="s">
        <v>24</v>
      </c>
      <c r="D5" s="5" t="s">
        <v>16</v>
      </c>
      <c r="E5" s="5">
        <v>5</v>
      </c>
      <c r="F5" s="5">
        <v>50</v>
      </c>
      <c r="G5" s="6">
        <v>45299</v>
      </c>
      <c r="I5" s="2">
        <f>Data[[#This Row],[Quantity]]*Data[[#This Row],[UnitPrice]]</f>
        <v>250</v>
      </c>
      <c r="L5" s="8" t="s">
        <v>16</v>
      </c>
      <c r="M5">
        <v>7550</v>
      </c>
      <c r="O5" s="8" t="s">
        <v>84</v>
      </c>
      <c r="P5">
        <v>375</v>
      </c>
    </row>
    <row r="6" spans="1:16" x14ac:dyDescent="0.2">
      <c r="A6" s="5">
        <v>1005</v>
      </c>
      <c r="B6" s="5" t="s">
        <v>25</v>
      </c>
      <c r="C6" s="5" t="s">
        <v>15</v>
      </c>
      <c r="D6" s="5" t="s">
        <v>26</v>
      </c>
      <c r="E6" s="5">
        <v>30</v>
      </c>
      <c r="F6" s="5">
        <v>5</v>
      </c>
      <c r="G6" s="6">
        <v>45301</v>
      </c>
      <c r="I6" s="2">
        <f>Data[[#This Row],[Quantity]]*Data[[#This Row],[UnitPrice]]</f>
        <v>150</v>
      </c>
      <c r="L6" s="8" t="s">
        <v>19</v>
      </c>
      <c r="M6">
        <v>2180</v>
      </c>
      <c r="O6" s="8" t="s">
        <v>85</v>
      </c>
      <c r="P6">
        <v>250</v>
      </c>
    </row>
    <row r="7" spans="1:16" x14ac:dyDescent="0.2">
      <c r="A7" s="5">
        <v>1006</v>
      </c>
      <c r="B7" s="5" t="s">
        <v>27</v>
      </c>
      <c r="C7" s="5" t="s">
        <v>18</v>
      </c>
      <c r="D7" s="5" t="s">
        <v>16</v>
      </c>
      <c r="E7" s="5">
        <v>12</v>
      </c>
      <c r="F7" s="5">
        <v>50</v>
      </c>
      <c r="G7" s="6">
        <v>45302</v>
      </c>
      <c r="I7" s="2">
        <f>Data[[#This Row],[Quantity]]*Data[[#This Row],[UnitPrice]]</f>
        <v>600</v>
      </c>
      <c r="L7" s="8" t="s">
        <v>26</v>
      </c>
      <c r="M7">
        <v>1235</v>
      </c>
      <c r="O7" s="8" t="s">
        <v>86</v>
      </c>
      <c r="P7">
        <v>150</v>
      </c>
    </row>
    <row r="8" spans="1:16" x14ac:dyDescent="0.2">
      <c r="A8" s="5">
        <v>1007</v>
      </c>
      <c r="B8" s="5" t="s">
        <v>28</v>
      </c>
      <c r="C8" s="5" t="s">
        <v>21</v>
      </c>
      <c r="D8" s="5" t="s">
        <v>29</v>
      </c>
      <c r="E8" s="5">
        <v>25</v>
      </c>
      <c r="F8" s="5">
        <v>8</v>
      </c>
      <c r="G8" s="6">
        <v>45304</v>
      </c>
      <c r="I8" s="2">
        <f>Data[[#This Row],[Quantity]]*Data[[#This Row],[UnitPrice]]</f>
        <v>200</v>
      </c>
      <c r="L8" s="8" t="s">
        <v>78</v>
      </c>
      <c r="M8">
        <v>16543</v>
      </c>
      <c r="O8" s="8" t="s">
        <v>87</v>
      </c>
      <c r="P8">
        <v>600</v>
      </c>
    </row>
    <row r="9" spans="1:16" x14ac:dyDescent="0.2">
      <c r="A9" s="5">
        <v>1008</v>
      </c>
      <c r="B9" s="5" t="s">
        <v>30</v>
      </c>
      <c r="C9" s="5" t="s">
        <v>24</v>
      </c>
      <c r="D9" s="5" t="s">
        <v>19</v>
      </c>
      <c r="E9" s="5">
        <v>18</v>
      </c>
      <c r="F9" s="5">
        <v>10</v>
      </c>
      <c r="G9" s="6">
        <v>45306</v>
      </c>
      <c r="I9" s="2">
        <f>Data[[#This Row],[Quantity]]*Data[[#This Row],[UnitPrice]]</f>
        <v>180</v>
      </c>
      <c r="O9" s="8" t="s">
        <v>88</v>
      </c>
      <c r="P9">
        <v>200</v>
      </c>
    </row>
    <row r="10" spans="1:16" x14ac:dyDescent="0.2">
      <c r="A10" s="5">
        <v>1009</v>
      </c>
      <c r="B10" s="5" t="s">
        <v>31</v>
      </c>
      <c r="C10" s="5" t="s">
        <v>15</v>
      </c>
      <c r="D10" s="5" t="s">
        <v>22</v>
      </c>
      <c r="E10" s="5">
        <v>22</v>
      </c>
      <c r="F10" s="5">
        <v>25</v>
      </c>
      <c r="G10" s="6">
        <v>45308</v>
      </c>
      <c r="I10" s="2">
        <f>Data[[#This Row],[Quantity]]*Data[[#This Row],[UnitPrice]]</f>
        <v>550</v>
      </c>
      <c r="O10" s="8" t="s">
        <v>89</v>
      </c>
      <c r="P10">
        <v>180</v>
      </c>
    </row>
    <row r="11" spans="1:16" x14ac:dyDescent="0.2">
      <c r="A11" s="5">
        <v>1010</v>
      </c>
      <c r="B11" s="5" t="s">
        <v>32</v>
      </c>
      <c r="C11" s="5" t="s">
        <v>18</v>
      </c>
      <c r="D11" s="5" t="s">
        <v>16</v>
      </c>
      <c r="E11" s="5">
        <v>8</v>
      </c>
      <c r="F11" s="5">
        <v>50</v>
      </c>
      <c r="G11" s="6">
        <v>45309</v>
      </c>
      <c r="I11" s="2">
        <f>Data[[#This Row],[Quantity]]*Data[[#This Row],[UnitPrice]]</f>
        <v>400</v>
      </c>
      <c r="O11" s="8" t="s">
        <v>90</v>
      </c>
      <c r="P11">
        <v>550</v>
      </c>
    </row>
    <row r="12" spans="1:16" x14ac:dyDescent="0.2">
      <c r="A12" s="5">
        <v>1011</v>
      </c>
      <c r="B12" s="5" t="s">
        <v>33</v>
      </c>
      <c r="C12" s="5" t="s">
        <v>21</v>
      </c>
      <c r="D12" s="5" t="s">
        <v>26</v>
      </c>
      <c r="E12" s="5">
        <v>40</v>
      </c>
      <c r="F12" s="5">
        <v>5</v>
      </c>
      <c r="G12" s="6">
        <v>45310</v>
      </c>
      <c r="I12" s="2">
        <f>Data[[#This Row],[Quantity]]*Data[[#This Row],[UnitPrice]]</f>
        <v>200</v>
      </c>
      <c r="O12" s="8" t="s">
        <v>91</v>
      </c>
      <c r="P12">
        <v>400</v>
      </c>
    </row>
    <row r="13" spans="1:16" x14ac:dyDescent="0.2">
      <c r="A13" s="5">
        <v>1012</v>
      </c>
      <c r="B13" s="5" t="s">
        <v>34</v>
      </c>
      <c r="C13" s="5" t="s">
        <v>24</v>
      </c>
      <c r="D13" s="5" t="s">
        <v>29</v>
      </c>
      <c r="E13" s="5">
        <v>35</v>
      </c>
      <c r="F13" s="5">
        <v>8</v>
      </c>
      <c r="G13" s="6">
        <v>45311</v>
      </c>
      <c r="I13" s="2">
        <f>Data[[#This Row],[Quantity]]*Data[[#This Row],[UnitPrice]]</f>
        <v>280</v>
      </c>
      <c r="O13" s="8" t="s">
        <v>92</v>
      </c>
      <c r="P13">
        <v>200</v>
      </c>
    </row>
    <row r="14" spans="1:16" x14ac:dyDescent="0.2">
      <c r="A14" s="5">
        <v>1013</v>
      </c>
      <c r="B14" s="5" t="s">
        <v>35</v>
      </c>
      <c r="C14" s="5" t="s">
        <v>15</v>
      </c>
      <c r="D14" s="5" t="s">
        <v>16</v>
      </c>
      <c r="E14" s="5">
        <v>14</v>
      </c>
      <c r="F14" s="5">
        <v>50</v>
      </c>
      <c r="G14" s="6">
        <v>45313</v>
      </c>
      <c r="I14" s="2">
        <f>Data[[#This Row],[Quantity]]*Data[[#This Row],[UnitPrice]]</f>
        <v>700</v>
      </c>
      <c r="O14" s="8" t="s">
        <v>93</v>
      </c>
      <c r="P14">
        <v>280</v>
      </c>
    </row>
    <row r="15" spans="1:16" x14ac:dyDescent="0.2">
      <c r="A15" s="5">
        <v>1014</v>
      </c>
      <c r="B15" s="5" t="s">
        <v>36</v>
      </c>
      <c r="C15" s="5" t="s">
        <v>18</v>
      </c>
      <c r="D15" s="5" t="s">
        <v>19</v>
      </c>
      <c r="E15" s="5">
        <v>28</v>
      </c>
      <c r="F15" s="5">
        <v>10</v>
      </c>
      <c r="G15" s="6">
        <v>45314</v>
      </c>
      <c r="I15" s="2">
        <f>Data[[#This Row],[Quantity]]*Data[[#This Row],[UnitPrice]]</f>
        <v>280</v>
      </c>
      <c r="O15" s="8" t="s">
        <v>94</v>
      </c>
      <c r="P15">
        <v>700</v>
      </c>
    </row>
    <row r="16" spans="1:16" x14ac:dyDescent="0.2">
      <c r="A16" s="5">
        <v>1015</v>
      </c>
      <c r="B16" s="5" t="s">
        <v>37</v>
      </c>
      <c r="C16" s="5" t="s">
        <v>21</v>
      </c>
      <c r="D16" s="5" t="s">
        <v>22</v>
      </c>
      <c r="E16" s="5">
        <v>12</v>
      </c>
      <c r="F16" s="5">
        <v>25</v>
      </c>
      <c r="G16" s="6">
        <v>45315</v>
      </c>
      <c r="I16" s="2">
        <f>Data[[#This Row],[Quantity]]*Data[[#This Row],[UnitPrice]]</f>
        <v>300</v>
      </c>
      <c r="O16" s="8" t="s">
        <v>95</v>
      </c>
      <c r="P16">
        <v>280</v>
      </c>
    </row>
    <row r="17" spans="1:16" x14ac:dyDescent="0.2">
      <c r="A17" s="5">
        <v>1016</v>
      </c>
      <c r="B17" s="5" t="s">
        <v>38</v>
      </c>
      <c r="C17" s="5" t="s">
        <v>24</v>
      </c>
      <c r="D17" s="5" t="s">
        <v>26</v>
      </c>
      <c r="E17" s="5">
        <v>25</v>
      </c>
      <c r="F17" s="5">
        <v>5</v>
      </c>
      <c r="G17" s="6">
        <v>45317</v>
      </c>
      <c r="I17" s="2">
        <f>Data[[#This Row],[Quantity]]*Data[[#This Row],[UnitPrice]]</f>
        <v>125</v>
      </c>
      <c r="O17" s="8" t="s">
        <v>96</v>
      </c>
      <c r="P17">
        <v>300</v>
      </c>
    </row>
    <row r="18" spans="1:16" x14ac:dyDescent="0.2">
      <c r="A18" s="5">
        <v>1017</v>
      </c>
      <c r="B18" s="5" t="s">
        <v>39</v>
      </c>
      <c r="C18" s="5" t="s">
        <v>15</v>
      </c>
      <c r="D18" s="5" t="s">
        <v>29</v>
      </c>
      <c r="E18" s="5">
        <v>20</v>
      </c>
      <c r="F18" s="5">
        <v>8</v>
      </c>
      <c r="G18" s="6">
        <v>45319</v>
      </c>
      <c r="I18" s="2">
        <f>Data[[#This Row],[Quantity]]*Data[[#This Row],[UnitPrice]]</f>
        <v>160</v>
      </c>
      <c r="O18" s="8" t="s">
        <v>97</v>
      </c>
      <c r="P18">
        <v>125</v>
      </c>
    </row>
    <row r="19" spans="1:16" x14ac:dyDescent="0.2">
      <c r="A19" s="5">
        <v>1018</v>
      </c>
      <c r="B19" s="5" t="s">
        <v>40</v>
      </c>
      <c r="C19" s="5" t="s">
        <v>18</v>
      </c>
      <c r="D19" s="5" t="s">
        <v>16</v>
      </c>
      <c r="E19" s="5">
        <v>10</v>
      </c>
      <c r="F19" s="5">
        <v>50</v>
      </c>
      <c r="G19" s="6">
        <v>45320</v>
      </c>
      <c r="I19" s="2">
        <f>Data[[#This Row],[Quantity]]*Data[[#This Row],[UnitPrice]]</f>
        <v>500</v>
      </c>
      <c r="O19" s="8" t="s">
        <v>98</v>
      </c>
      <c r="P19">
        <v>160</v>
      </c>
    </row>
    <row r="20" spans="1:16" x14ac:dyDescent="0.2">
      <c r="A20" s="5">
        <v>1019</v>
      </c>
      <c r="B20" s="5" t="s">
        <v>41</v>
      </c>
      <c r="C20" s="5" t="s">
        <v>21</v>
      </c>
      <c r="D20" s="5" t="s">
        <v>19</v>
      </c>
      <c r="E20" s="5">
        <v>15</v>
      </c>
      <c r="F20" s="5">
        <v>10</v>
      </c>
      <c r="G20" s="6">
        <v>45321</v>
      </c>
      <c r="I20" s="2">
        <f>Data[[#This Row],[Quantity]]*Data[[#This Row],[UnitPrice]]</f>
        <v>150</v>
      </c>
      <c r="O20" s="8" t="s">
        <v>99</v>
      </c>
      <c r="P20">
        <v>500</v>
      </c>
    </row>
    <row r="21" spans="1:16" x14ac:dyDescent="0.2">
      <c r="A21" s="5">
        <v>1020</v>
      </c>
      <c r="B21" s="5" t="s">
        <v>42</v>
      </c>
      <c r="C21" s="5" t="s">
        <v>24</v>
      </c>
      <c r="D21" s="5" t="s">
        <v>22</v>
      </c>
      <c r="E21" s="5">
        <v>18</v>
      </c>
      <c r="F21" s="5">
        <v>25</v>
      </c>
      <c r="G21" s="6">
        <v>45323</v>
      </c>
      <c r="I21" s="2">
        <f>Data[[#This Row],[Quantity]]*Data[[#This Row],[UnitPrice]]</f>
        <v>450</v>
      </c>
      <c r="O21" s="8" t="s">
        <v>100</v>
      </c>
      <c r="P21">
        <v>150</v>
      </c>
    </row>
    <row r="22" spans="1:16" x14ac:dyDescent="0.2">
      <c r="A22" s="5">
        <v>1021</v>
      </c>
      <c r="B22" s="5" t="s">
        <v>43</v>
      </c>
      <c r="C22" s="5" t="s">
        <v>15</v>
      </c>
      <c r="D22" s="5" t="s">
        <v>16</v>
      </c>
      <c r="E22" s="5">
        <v>9</v>
      </c>
      <c r="F22" s="5">
        <v>50</v>
      </c>
      <c r="G22" s="6">
        <v>45324</v>
      </c>
      <c r="I22" s="2">
        <f>Data[[#This Row],[Quantity]]*Data[[#This Row],[UnitPrice]]</f>
        <v>450</v>
      </c>
      <c r="O22" s="8" t="s">
        <v>101</v>
      </c>
      <c r="P22">
        <v>450</v>
      </c>
    </row>
    <row r="23" spans="1:16" x14ac:dyDescent="0.2">
      <c r="A23" s="5">
        <v>1022</v>
      </c>
      <c r="B23" s="5" t="s">
        <v>44</v>
      </c>
      <c r="C23" s="5" t="s">
        <v>18</v>
      </c>
      <c r="D23" s="5" t="s">
        <v>26</v>
      </c>
      <c r="E23" s="5">
        <v>35</v>
      </c>
      <c r="F23" s="5">
        <v>5</v>
      </c>
      <c r="G23" s="6">
        <v>45325</v>
      </c>
      <c r="I23" s="2">
        <f>Data[[#This Row],[Quantity]]*Data[[#This Row],[UnitPrice]]</f>
        <v>175</v>
      </c>
      <c r="O23" s="8" t="s">
        <v>102</v>
      </c>
      <c r="P23">
        <v>450</v>
      </c>
    </row>
    <row r="24" spans="1:16" x14ac:dyDescent="0.2">
      <c r="A24" s="5">
        <v>1023</v>
      </c>
      <c r="B24" s="5" t="s">
        <v>45</v>
      </c>
      <c r="C24" s="5" t="s">
        <v>21</v>
      </c>
      <c r="D24" s="5" t="s">
        <v>29</v>
      </c>
      <c r="E24" s="5">
        <v>30</v>
      </c>
      <c r="F24" s="5">
        <v>8</v>
      </c>
      <c r="G24" s="6">
        <v>45326</v>
      </c>
      <c r="I24" s="2">
        <f>Data[[#This Row],[Quantity]]*Data[[#This Row],[UnitPrice]]</f>
        <v>240</v>
      </c>
      <c r="O24" s="8" t="s">
        <v>103</v>
      </c>
      <c r="P24">
        <v>175</v>
      </c>
    </row>
    <row r="25" spans="1:16" x14ac:dyDescent="0.2">
      <c r="A25" s="5">
        <v>1024</v>
      </c>
      <c r="B25" s="5" t="s">
        <v>46</v>
      </c>
      <c r="C25" s="5" t="s">
        <v>24</v>
      </c>
      <c r="D25" s="5" t="s">
        <v>16</v>
      </c>
      <c r="E25" s="5">
        <v>11</v>
      </c>
      <c r="F25" s="5">
        <v>50</v>
      </c>
      <c r="G25" s="6">
        <v>45328</v>
      </c>
      <c r="I25" s="2">
        <f>Data[[#This Row],[Quantity]]*Data[[#This Row],[UnitPrice]]</f>
        <v>550</v>
      </c>
      <c r="O25" s="8" t="s">
        <v>104</v>
      </c>
      <c r="P25">
        <v>240</v>
      </c>
    </row>
    <row r="26" spans="1:16" x14ac:dyDescent="0.2">
      <c r="A26" s="5">
        <v>1025</v>
      </c>
      <c r="B26" s="5" t="s">
        <v>47</v>
      </c>
      <c r="C26" s="5" t="s">
        <v>15</v>
      </c>
      <c r="D26" s="5" t="s">
        <v>19</v>
      </c>
      <c r="E26" s="5">
        <v>14</v>
      </c>
      <c r="F26" s="5">
        <v>10</v>
      </c>
      <c r="G26" s="6">
        <v>45329</v>
      </c>
      <c r="I26" s="2">
        <f>Data[[#This Row],[Quantity]]*Data[[#This Row],[UnitPrice]]</f>
        <v>140</v>
      </c>
      <c r="O26" s="8" t="s">
        <v>105</v>
      </c>
      <c r="P26">
        <v>550</v>
      </c>
    </row>
    <row r="27" spans="1:16" x14ac:dyDescent="0.2">
      <c r="A27" s="5">
        <v>1026</v>
      </c>
      <c r="B27" s="5" t="s">
        <v>48</v>
      </c>
      <c r="C27" s="5" t="s">
        <v>18</v>
      </c>
      <c r="D27" s="5" t="s">
        <v>22</v>
      </c>
      <c r="E27" s="5">
        <v>16</v>
      </c>
      <c r="F27" s="5">
        <v>25</v>
      </c>
      <c r="G27" s="6">
        <v>45330</v>
      </c>
      <c r="I27" s="2">
        <f>Data[[#This Row],[Quantity]]*Data[[#This Row],[UnitPrice]]</f>
        <v>400</v>
      </c>
      <c r="O27" s="8" t="s">
        <v>106</v>
      </c>
      <c r="P27">
        <v>140</v>
      </c>
    </row>
    <row r="28" spans="1:16" x14ac:dyDescent="0.2">
      <c r="A28" s="5">
        <v>1027</v>
      </c>
      <c r="B28" s="5" t="s">
        <v>49</v>
      </c>
      <c r="C28" s="5" t="s">
        <v>21</v>
      </c>
      <c r="D28" s="5" t="s">
        <v>26</v>
      </c>
      <c r="E28" s="5">
        <v>22</v>
      </c>
      <c r="F28" s="5">
        <v>5</v>
      </c>
      <c r="G28" s="6">
        <v>45331</v>
      </c>
      <c r="I28" s="2">
        <f>Data[[#This Row],[Quantity]]*Data[[#This Row],[UnitPrice]]</f>
        <v>110</v>
      </c>
      <c r="O28" s="8" t="s">
        <v>107</v>
      </c>
      <c r="P28">
        <v>400</v>
      </c>
    </row>
    <row r="29" spans="1:16" x14ac:dyDescent="0.2">
      <c r="A29" s="5">
        <v>1028</v>
      </c>
      <c r="B29" s="5" t="s">
        <v>50</v>
      </c>
      <c r="C29" s="5" t="s">
        <v>24</v>
      </c>
      <c r="D29" s="5" t="s">
        <v>29</v>
      </c>
      <c r="E29" s="5">
        <v>27</v>
      </c>
      <c r="F29" s="5">
        <v>8</v>
      </c>
      <c r="G29" s="6">
        <v>45332</v>
      </c>
      <c r="I29" s="2">
        <f>Data[[#This Row],[Quantity]]*Data[[#This Row],[UnitPrice]]</f>
        <v>216</v>
      </c>
      <c r="O29" s="8" t="s">
        <v>108</v>
      </c>
      <c r="P29">
        <v>110</v>
      </c>
    </row>
    <row r="30" spans="1:16" x14ac:dyDescent="0.2">
      <c r="A30" s="5">
        <v>1029</v>
      </c>
      <c r="B30" s="5" t="s">
        <v>51</v>
      </c>
      <c r="C30" s="5" t="s">
        <v>15</v>
      </c>
      <c r="D30" s="5" t="s">
        <v>16</v>
      </c>
      <c r="E30" s="5">
        <v>13</v>
      </c>
      <c r="F30" s="5">
        <v>50</v>
      </c>
      <c r="G30" s="6">
        <v>45334</v>
      </c>
      <c r="I30" s="2">
        <f>Data[[#This Row],[Quantity]]*Data[[#This Row],[UnitPrice]]</f>
        <v>650</v>
      </c>
      <c r="O30" s="8" t="s">
        <v>109</v>
      </c>
      <c r="P30">
        <v>216</v>
      </c>
    </row>
    <row r="31" spans="1:16" x14ac:dyDescent="0.2">
      <c r="A31" s="5">
        <v>1030</v>
      </c>
      <c r="B31" s="5" t="s">
        <v>52</v>
      </c>
      <c r="C31" s="5" t="s">
        <v>18</v>
      </c>
      <c r="D31" s="5" t="s">
        <v>19</v>
      </c>
      <c r="E31" s="5">
        <v>32</v>
      </c>
      <c r="F31" s="5">
        <v>10</v>
      </c>
      <c r="G31" s="6">
        <v>45335</v>
      </c>
      <c r="I31" s="2">
        <f>Data[[#This Row],[Quantity]]*Data[[#This Row],[UnitPrice]]</f>
        <v>320</v>
      </c>
      <c r="O31" s="8" t="s">
        <v>110</v>
      </c>
      <c r="P31">
        <v>650</v>
      </c>
    </row>
    <row r="32" spans="1:16" x14ac:dyDescent="0.2">
      <c r="A32" s="5">
        <v>1031</v>
      </c>
      <c r="B32" s="5" t="s">
        <v>53</v>
      </c>
      <c r="C32" s="5" t="s">
        <v>21</v>
      </c>
      <c r="D32" s="5" t="s">
        <v>22</v>
      </c>
      <c r="E32" s="5">
        <v>10</v>
      </c>
      <c r="F32" s="5">
        <v>25</v>
      </c>
      <c r="G32" s="6">
        <v>45336</v>
      </c>
      <c r="I32" s="2">
        <f>Data[[#This Row],[Quantity]]*Data[[#This Row],[UnitPrice]]</f>
        <v>250</v>
      </c>
      <c r="O32" s="8" t="s">
        <v>111</v>
      </c>
      <c r="P32">
        <v>320</v>
      </c>
    </row>
    <row r="33" spans="1:16" x14ac:dyDescent="0.2">
      <c r="A33" s="5">
        <v>1032</v>
      </c>
      <c r="B33" s="5" t="s">
        <v>54</v>
      </c>
      <c r="C33" s="5" t="s">
        <v>24</v>
      </c>
      <c r="D33" s="5" t="s">
        <v>26</v>
      </c>
      <c r="E33" s="5">
        <v>18</v>
      </c>
      <c r="F33" s="5">
        <v>5</v>
      </c>
      <c r="G33" s="6">
        <v>45338</v>
      </c>
      <c r="I33" s="2">
        <f>Data[[#This Row],[Quantity]]*Data[[#This Row],[UnitPrice]]</f>
        <v>90</v>
      </c>
      <c r="O33" s="8" t="s">
        <v>112</v>
      </c>
      <c r="P33">
        <v>250</v>
      </c>
    </row>
    <row r="34" spans="1:16" x14ac:dyDescent="0.2">
      <c r="A34" s="5">
        <v>1033</v>
      </c>
      <c r="B34" s="5" t="s">
        <v>55</v>
      </c>
      <c r="C34" s="5" t="s">
        <v>15</v>
      </c>
      <c r="D34" s="5" t="s">
        <v>29</v>
      </c>
      <c r="E34" s="5">
        <v>22</v>
      </c>
      <c r="F34" s="5">
        <v>8</v>
      </c>
      <c r="G34" s="6">
        <v>45339</v>
      </c>
      <c r="I34" s="2">
        <f>Data[[#This Row],[Quantity]]*Data[[#This Row],[UnitPrice]]</f>
        <v>176</v>
      </c>
      <c r="O34" s="8" t="s">
        <v>113</v>
      </c>
      <c r="P34">
        <v>90</v>
      </c>
    </row>
    <row r="35" spans="1:16" x14ac:dyDescent="0.2">
      <c r="A35" s="5">
        <v>1034</v>
      </c>
      <c r="B35" s="5" t="s">
        <v>56</v>
      </c>
      <c r="C35" s="5" t="s">
        <v>18</v>
      </c>
      <c r="D35" s="5" t="s">
        <v>16</v>
      </c>
      <c r="E35" s="5">
        <v>17</v>
      </c>
      <c r="F35" s="5">
        <v>50</v>
      </c>
      <c r="G35" s="6">
        <v>45340</v>
      </c>
      <c r="I35" s="2">
        <f>Data[[#This Row],[Quantity]]*Data[[#This Row],[UnitPrice]]</f>
        <v>850</v>
      </c>
      <c r="O35" s="8" t="s">
        <v>114</v>
      </c>
      <c r="P35">
        <v>176</v>
      </c>
    </row>
    <row r="36" spans="1:16" x14ac:dyDescent="0.2">
      <c r="A36" s="5">
        <v>1035</v>
      </c>
      <c r="B36" s="5" t="s">
        <v>57</v>
      </c>
      <c r="C36" s="5" t="s">
        <v>21</v>
      </c>
      <c r="D36" s="5" t="s">
        <v>19</v>
      </c>
      <c r="E36" s="5">
        <v>19</v>
      </c>
      <c r="F36" s="5">
        <v>10</v>
      </c>
      <c r="G36" s="6">
        <v>45341</v>
      </c>
      <c r="I36" s="2">
        <f>Data[[#This Row],[Quantity]]*Data[[#This Row],[UnitPrice]]</f>
        <v>190</v>
      </c>
      <c r="O36" s="8" t="s">
        <v>115</v>
      </c>
      <c r="P36">
        <v>850</v>
      </c>
    </row>
    <row r="37" spans="1:16" x14ac:dyDescent="0.2">
      <c r="A37" s="5">
        <v>1036</v>
      </c>
      <c r="B37" s="5" t="s">
        <v>58</v>
      </c>
      <c r="C37" s="5" t="s">
        <v>24</v>
      </c>
      <c r="D37" s="5" t="s">
        <v>22</v>
      </c>
      <c r="E37" s="5">
        <v>15</v>
      </c>
      <c r="F37" s="5">
        <v>25</v>
      </c>
      <c r="G37" s="6">
        <v>45343</v>
      </c>
      <c r="I37" s="2">
        <f>Data[[#This Row],[Quantity]]*Data[[#This Row],[UnitPrice]]</f>
        <v>375</v>
      </c>
      <c r="O37" s="8" t="s">
        <v>116</v>
      </c>
      <c r="P37">
        <v>190</v>
      </c>
    </row>
    <row r="38" spans="1:16" x14ac:dyDescent="0.2">
      <c r="A38" s="5">
        <v>1037</v>
      </c>
      <c r="B38" s="5" t="s">
        <v>59</v>
      </c>
      <c r="C38" s="5" t="s">
        <v>15</v>
      </c>
      <c r="D38" s="5" t="s">
        <v>26</v>
      </c>
      <c r="E38" s="5">
        <v>28</v>
      </c>
      <c r="F38" s="5">
        <v>5</v>
      </c>
      <c r="G38" s="6">
        <v>45344</v>
      </c>
      <c r="I38" s="2">
        <f>Data[[#This Row],[Quantity]]*Data[[#This Row],[UnitPrice]]</f>
        <v>140</v>
      </c>
      <c r="O38" s="8" t="s">
        <v>117</v>
      </c>
      <c r="P38">
        <v>375</v>
      </c>
    </row>
    <row r="39" spans="1:16" x14ac:dyDescent="0.2">
      <c r="A39" s="5">
        <v>1038</v>
      </c>
      <c r="B39" s="5" t="s">
        <v>60</v>
      </c>
      <c r="C39" s="5" t="s">
        <v>18</v>
      </c>
      <c r="D39" s="5" t="s">
        <v>29</v>
      </c>
      <c r="E39" s="5">
        <v>24</v>
      </c>
      <c r="F39" s="5">
        <v>8</v>
      </c>
      <c r="G39" s="6">
        <v>45345</v>
      </c>
      <c r="I39" s="2">
        <f>Data[[#This Row],[Quantity]]*Data[[#This Row],[UnitPrice]]</f>
        <v>192</v>
      </c>
      <c r="O39" s="8" t="s">
        <v>118</v>
      </c>
      <c r="P39">
        <v>140</v>
      </c>
    </row>
    <row r="40" spans="1:16" x14ac:dyDescent="0.2">
      <c r="A40" s="5">
        <v>1039</v>
      </c>
      <c r="B40" s="5" t="s">
        <v>61</v>
      </c>
      <c r="C40" s="5" t="s">
        <v>21</v>
      </c>
      <c r="D40" s="5" t="s">
        <v>16</v>
      </c>
      <c r="E40" s="5">
        <v>16</v>
      </c>
      <c r="F40" s="5">
        <v>50</v>
      </c>
      <c r="G40" s="6">
        <v>45347</v>
      </c>
      <c r="I40" s="2">
        <f>Data[[#This Row],[Quantity]]*Data[[#This Row],[UnitPrice]]</f>
        <v>800</v>
      </c>
      <c r="O40" s="8" t="s">
        <v>119</v>
      </c>
      <c r="P40">
        <v>192</v>
      </c>
    </row>
    <row r="41" spans="1:16" x14ac:dyDescent="0.2">
      <c r="A41" s="5">
        <v>1040</v>
      </c>
      <c r="B41" s="5" t="s">
        <v>62</v>
      </c>
      <c r="C41" s="5" t="s">
        <v>24</v>
      </c>
      <c r="D41" s="5" t="s">
        <v>19</v>
      </c>
      <c r="E41" s="5">
        <v>27</v>
      </c>
      <c r="F41" s="5">
        <v>10</v>
      </c>
      <c r="G41" s="6">
        <v>45348</v>
      </c>
      <c r="I41" s="2">
        <f>Data[[#This Row],[Quantity]]*Data[[#This Row],[UnitPrice]]</f>
        <v>270</v>
      </c>
      <c r="O41" s="8" t="s">
        <v>120</v>
      </c>
      <c r="P41">
        <v>800</v>
      </c>
    </row>
    <row r="42" spans="1:16" x14ac:dyDescent="0.2">
      <c r="A42" s="5">
        <v>1041</v>
      </c>
      <c r="B42" s="5" t="s">
        <v>63</v>
      </c>
      <c r="C42" s="5" t="s">
        <v>15</v>
      </c>
      <c r="D42" s="5" t="s">
        <v>22</v>
      </c>
      <c r="E42" s="5">
        <v>21</v>
      </c>
      <c r="F42" s="5">
        <v>25</v>
      </c>
      <c r="G42" s="6">
        <v>45349</v>
      </c>
      <c r="I42" s="2">
        <f>Data[[#This Row],[Quantity]]*Data[[#This Row],[UnitPrice]]</f>
        <v>525</v>
      </c>
      <c r="O42" s="8" t="s">
        <v>121</v>
      </c>
      <c r="P42">
        <v>270</v>
      </c>
    </row>
    <row r="43" spans="1:16" x14ac:dyDescent="0.2">
      <c r="A43" s="5">
        <v>1042</v>
      </c>
      <c r="B43" s="5" t="s">
        <v>64</v>
      </c>
      <c r="C43" s="5" t="s">
        <v>18</v>
      </c>
      <c r="D43" s="5" t="s">
        <v>26</v>
      </c>
      <c r="E43" s="5">
        <v>30</v>
      </c>
      <c r="F43" s="5">
        <v>5</v>
      </c>
      <c r="G43" s="6">
        <v>45350</v>
      </c>
      <c r="I43" s="2">
        <f>Data[[#This Row],[Quantity]]*Data[[#This Row],[UnitPrice]]</f>
        <v>150</v>
      </c>
      <c r="O43" s="8" t="s">
        <v>122</v>
      </c>
      <c r="P43">
        <v>525</v>
      </c>
    </row>
    <row r="44" spans="1:16" x14ac:dyDescent="0.2">
      <c r="A44" s="5">
        <v>1043</v>
      </c>
      <c r="B44" s="5" t="s">
        <v>65</v>
      </c>
      <c r="C44" s="5" t="s">
        <v>21</v>
      </c>
      <c r="D44" s="5" t="s">
        <v>29</v>
      </c>
      <c r="E44" s="5">
        <v>26</v>
      </c>
      <c r="F44" s="5">
        <v>8</v>
      </c>
      <c r="G44" s="6">
        <v>45352</v>
      </c>
      <c r="I44" s="2">
        <f>Data[[#This Row],[Quantity]]*Data[[#This Row],[UnitPrice]]</f>
        <v>208</v>
      </c>
      <c r="O44" s="8" t="s">
        <v>123</v>
      </c>
      <c r="P44">
        <v>150</v>
      </c>
    </row>
    <row r="45" spans="1:16" x14ac:dyDescent="0.2">
      <c r="A45" s="5">
        <v>1044</v>
      </c>
      <c r="B45" s="5" t="s">
        <v>66</v>
      </c>
      <c r="C45" s="5" t="s">
        <v>24</v>
      </c>
      <c r="D45" s="5" t="s">
        <v>16</v>
      </c>
      <c r="E45" s="5">
        <v>14</v>
      </c>
      <c r="F45" s="5">
        <v>50</v>
      </c>
      <c r="G45" s="6">
        <v>45353</v>
      </c>
      <c r="I45" s="2">
        <f>Data[[#This Row],[Quantity]]*Data[[#This Row],[UnitPrice]]</f>
        <v>700</v>
      </c>
      <c r="O45" s="8" t="s">
        <v>124</v>
      </c>
      <c r="P45">
        <v>208</v>
      </c>
    </row>
    <row r="46" spans="1:16" x14ac:dyDescent="0.2">
      <c r="A46" s="5">
        <v>1045</v>
      </c>
      <c r="B46" s="5" t="s">
        <v>67</v>
      </c>
      <c r="C46" s="5" t="s">
        <v>15</v>
      </c>
      <c r="D46" s="5" t="s">
        <v>19</v>
      </c>
      <c r="E46" s="5">
        <v>20</v>
      </c>
      <c r="F46" s="5">
        <v>10</v>
      </c>
      <c r="G46" s="6">
        <v>45354</v>
      </c>
      <c r="I46" s="2">
        <f>Data[[#This Row],[Quantity]]*Data[[#This Row],[UnitPrice]]</f>
        <v>200</v>
      </c>
      <c r="O46" s="8" t="s">
        <v>125</v>
      </c>
      <c r="P46">
        <v>700</v>
      </c>
    </row>
    <row r="47" spans="1:16" x14ac:dyDescent="0.2">
      <c r="A47" s="5">
        <v>1046</v>
      </c>
      <c r="B47" s="5" t="s">
        <v>68</v>
      </c>
      <c r="C47" s="5" t="s">
        <v>18</v>
      </c>
      <c r="D47" s="5" t="s">
        <v>22</v>
      </c>
      <c r="E47" s="5">
        <v>17</v>
      </c>
      <c r="F47" s="5">
        <v>25</v>
      </c>
      <c r="G47" s="6">
        <v>45355</v>
      </c>
      <c r="I47" s="2">
        <f>Data[[#This Row],[Quantity]]*Data[[#This Row],[UnitPrice]]</f>
        <v>425</v>
      </c>
      <c r="O47" s="8" t="s">
        <v>126</v>
      </c>
      <c r="P47">
        <v>200</v>
      </c>
    </row>
    <row r="48" spans="1:16" x14ac:dyDescent="0.2">
      <c r="A48" s="5">
        <v>1047</v>
      </c>
      <c r="B48" s="5" t="s">
        <v>69</v>
      </c>
      <c r="C48" s="5" t="s">
        <v>21</v>
      </c>
      <c r="D48" s="5" t="s">
        <v>26</v>
      </c>
      <c r="E48" s="5">
        <v>19</v>
      </c>
      <c r="F48" s="5">
        <v>5</v>
      </c>
      <c r="G48" s="6">
        <v>45356</v>
      </c>
      <c r="I48" s="2">
        <f>Data[[#This Row],[Quantity]]*Data[[#This Row],[UnitPrice]]</f>
        <v>95</v>
      </c>
      <c r="O48" s="8" t="s">
        <v>127</v>
      </c>
      <c r="P48">
        <v>425</v>
      </c>
    </row>
    <row r="49" spans="1:16" x14ac:dyDescent="0.2">
      <c r="A49" s="5">
        <v>1048</v>
      </c>
      <c r="B49" s="5" t="s">
        <v>70</v>
      </c>
      <c r="C49" s="5" t="s">
        <v>24</v>
      </c>
      <c r="D49" s="5" t="s">
        <v>29</v>
      </c>
      <c r="E49" s="5">
        <v>32</v>
      </c>
      <c r="F49" s="5">
        <v>8</v>
      </c>
      <c r="G49" s="6">
        <v>45357</v>
      </c>
      <c r="I49" s="2">
        <f>Data[[#This Row],[Quantity]]*Data[[#This Row],[UnitPrice]]</f>
        <v>256</v>
      </c>
      <c r="O49" s="8" t="s">
        <v>128</v>
      </c>
      <c r="P49">
        <v>95</v>
      </c>
    </row>
    <row r="50" spans="1:16" x14ac:dyDescent="0.2">
      <c r="A50" s="5">
        <v>1049</v>
      </c>
      <c r="B50" s="5" t="s">
        <v>71</v>
      </c>
      <c r="C50" s="5" t="s">
        <v>15</v>
      </c>
      <c r="D50" s="5" t="s">
        <v>16</v>
      </c>
      <c r="E50" s="5">
        <v>12</v>
      </c>
      <c r="F50" s="5">
        <v>50</v>
      </c>
      <c r="G50" s="6">
        <v>45358</v>
      </c>
      <c r="I50" s="2">
        <f>Data[[#This Row],[Quantity]]*Data[[#This Row],[UnitPrice]]</f>
        <v>600</v>
      </c>
      <c r="O50" s="8" t="s">
        <v>129</v>
      </c>
      <c r="P50">
        <v>256</v>
      </c>
    </row>
    <row r="51" spans="1:16" x14ac:dyDescent="0.2">
      <c r="A51" s="5">
        <v>1050</v>
      </c>
      <c r="B51" s="5" t="s">
        <v>72</v>
      </c>
      <c r="C51" s="5" t="s">
        <v>18</v>
      </c>
      <c r="D51" s="5" t="s">
        <v>19</v>
      </c>
      <c r="E51" s="5">
        <v>25</v>
      </c>
      <c r="F51" s="5">
        <v>10</v>
      </c>
      <c r="G51" s="6">
        <v>45359</v>
      </c>
      <c r="I51" s="2">
        <f>Data[[#This Row],[Quantity]]*Data[[#This Row],[UnitPrice]]</f>
        <v>250</v>
      </c>
      <c r="O51" s="8" t="s">
        <v>130</v>
      </c>
      <c r="P51">
        <v>600</v>
      </c>
    </row>
    <row r="52" spans="1:16" x14ac:dyDescent="0.2">
      <c r="I52" s="1"/>
      <c r="O52" s="8" t="s">
        <v>131</v>
      </c>
      <c r="P52">
        <v>250</v>
      </c>
    </row>
    <row r="53" spans="1:16" x14ac:dyDescent="0.2">
      <c r="I53" s="1"/>
      <c r="O53" s="8" t="s">
        <v>78</v>
      </c>
      <c r="P53">
        <v>16543</v>
      </c>
    </row>
    <row r="54" spans="1:16" x14ac:dyDescent="0.2">
      <c r="I54" s="1"/>
    </row>
    <row r="55" spans="1:16" x14ac:dyDescent="0.2">
      <c r="I55" s="1"/>
    </row>
    <row r="56" spans="1:16" x14ac:dyDescent="0.2">
      <c r="I56" s="1"/>
    </row>
    <row r="57" spans="1:16" x14ac:dyDescent="0.2">
      <c r="I57" s="1"/>
    </row>
    <row r="58" spans="1:16" x14ac:dyDescent="0.2">
      <c r="I58" s="1"/>
    </row>
    <row r="59" spans="1:16" x14ac:dyDescent="0.2">
      <c r="I59" s="1"/>
    </row>
    <row r="60" spans="1:16" x14ac:dyDescent="0.2">
      <c r="I60" s="1"/>
    </row>
    <row r="61" spans="1:16" x14ac:dyDescent="0.2">
      <c r="I61" s="1"/>
    </row>
    <row r="62" spans="1:16" x14ac:dyDescent="0.2">
      <c r="I62" s="1"/>
    </row>
  </sheetData>
  <mergeCells count="2">
    <mergeCell ref="L1:M1"/>
    <mergeCell ref="O1:P1"/>
  </mergeCells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ans1</vt:lpstr>
      <vt:lpstr>ans 2</vt:lpstr>
      <vt:lpstr>ans 3</vt:lpstr>
      <vt:lpstr>ans 4-8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 Agarwal</dc:creator>
  <cp:lastModifiedBy>Sarv Agarwal</cp:lastModifiedBy>
  <dcterms:created xsi:type="dcterms:W3CDTF">2026-04-17T05:34:06Z</dcterms:created>
  <dcterms:modified xsi:type="dcterms:W3CDTF">2026-04-17T07:24:51Z</dcterms:modified>
</cp:coreProperties>
</file>